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ue Comparison" sheetId="1" state="visible" r:id="rId3"/>
    <sheet name="Guest Selec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<sst xmlns="http://schemas.openxmlformats.org/spreadsheetml/2006/main" count="124" uniqueCount="116">
  <si>
    <t xml:space="preserve">Wedding Venue Comparison – September 2026 (Pretoria / Hartbeespoort area)</t>
  </si>
  <si>
    <t xml:space="preserve">Yellow cells with blue text = inputs you can change. Black = formulas. Blank yellow = price not published; get a quote and type it in. Rand (ZAR).</t>
  </si>
  <si>
    <t xml:space="preserve">Pricing basis: 2026 published rates and actual 2026 dates (Wed 23 / Fri 25 Sep 2026).</t>
  </si>
  <si>
    <t xml:space="preserve">Wedding date</t>
  </si>
  <si>
    <t xml:space="preserve">25 Sep 2026</t>
  </si>
  <si>
    <t xml:space="preserve">Pick Wed 23 Sep or Fri 25 Sep 2026. Thu 24 Sep 2026 is Heritage Day (public holiday), so 25 Sep sits on a long weekend.</t>
  </si>
  <si>
    <t xml:space="preserve">Guest count</t>
  </si>
  <si>
    <t xml:space="preserve">Assumption: 70 guests (from you). Guests tab shows how many you've marked 'Yes'.</t>
  </si>
  <si>
    <t xml:space="preserve">Rooms needed (accommodation)</t>
  </si>
  <si>
    <t xml:space="preserve">Assumption: ~15 rooms for 70 guests (couples/families share). Edit as needed.</t>
  </si>
  <si>
    <t xml:space="preserve">Nights per room</t>
  </si>
  <si>
    <t xml:space="preserve">Day of week</t>
  </si>
  <si>
    <t xml:space="preserve">Guests marked 'Should come' (Guest Selector)</t>
  </si>
  <si>
    <t xml:space="preserve">For reference only – type the number you want into B5.</t>
  </si>
  <si>
    <t xml:space="preserve">Item</t>
  </si>
  <si>
    <t xml:space="preserve">Rosemary Hill</t>
  </si>
  <si>
    <t xml:space="preserve">The Barn at Redstone</t>
  </si>
  <si>
    <t xml:space="preserve">Swanlake Corner</t>
  </si>
  <si>
    <t xml:space="preserve">Artelier</t>
  </si>
  <si>
    <t xml:space="preserve">Notes / sources</t>
  </si>
  <si>
    <t xml:space="preserve">A. COSTS (inputs)</t>
  </si>
  <si>
    <t xml:space="preserve">Venue hire – Wednesday 23 Sep</t>
  </si>
  <si>
    <t xml:space="preserve">Redstone: 2026 package Mon–Thu R22,000 (Wed). Others: not published – quote needed. 2026 rates used as basis.</t>
  </si>
  <si>
    <t xml:space="preserve">Venue hire – Friday 25 Sep</t>
  </si>
  <si>
    <t xml:space="preserve">Redstone: Fri R35,000 (2026 package; Fri 25 Sep follows Heritage Day Thu 24 Sep, so a holiday-weekend surcharge is possible; Jan/Jun/Jul/Aug 25% discount does not apply to Sept). Rosemary Hill: separate Distillery hire fee, amount not published.</t>
  </si>
  <si>
    <t xml:space="preserve">Food – per person</t>
  </si>
  <si>
    <t xml:space="preserve">Rosemary Hill: published range R350–R600 pp (midpoint R475 used – replace with quote). Redstone: Plated menu R850 pp (2026 pkg). Swanlake &amp; Artelier: self-catering/external caterers – get caterer quotes (Hartbeespoort typical caterer pricing is a guide only).</t>
  </si>
  <si>
    <t xml:space="preserve">Accommodation – per room per night</t>
  </si>
  <si>
    <t xml:space="preserve">Rosemary Hill: R1,598–R4,203/room (Tripadvisor range, midpoint ≈R2,900). Artelier: 'from R6,000' per room (listing – confirm whether this is per room per night). Redstone: historic guest house, price not published. Swanlake: accommodation for bridal party only.</t>
  </si>
  <si>
    <t xml:space="preserve">Add-ons – DJ</t>
  </si>
  <si>
    <t xml:space="preserve">Rosemary Hill: DJ included. Others: outside DJ – get quote (typical R4,000–R8,000; assumption not sourced).</t>
  </si>
  <si>
    <t xml:space="preserve">Add-ons – Flowers / décor</t>
  </si>
  <si>
    <t xml:space="preserve">Not published by any venue; quote needed. Artelier and Redstone allow outside decorators.</t>
  </si>
  <si>
    <t xml:space="preserve">Add-ons – Other (e.g. extra hire, overtime)</t>
  </si>
  <si>
    <t xml:space="preserve">Redstone overtime R2,500/hr after 8 hrs (not included).</t>
  </si>
  <si>
    <t xml:space="preserve">B. TOTALS (formulas)</t>
  </si>
  <si>
    <t xml:space="preserve">Venue hire (selected date)</t>
  </si>
  <si>
    <t xml:space="preserve">Picks Thursday or Saturday price from the date above.</t>
  </si>
  <si>
    <t xml:space="preserve">Food (guests × per person)</t>
  </si>
  <si>
    <t xml:space="preserve">Accommodation (rooms × nights × rate)</t>
  </si>
  <si>
    <t xml:space="preserve">Add-ons (DJ + flowers + other)</t>
  </si>
  <si>
    <t xml:space="preserve">TOTAL ESTIMATE</t>
  </si>
  <si>
    <t xml:space="preserve">Blank inputs count as zero – see 'Missing prices' below before comparing.</t>
  </si>
  <si>
    <t xml:space="preserve">Cost per guest</t>
  </si>
  <si>
    <t xml:space="preserve">Missing prices (count of blank inputs)</t>
  </si>
  <si>
    <t xml:space="preserve">If &gt; 0 the total is understated. Fill the yellow cells.</t>
  </si>
  <si>
    <t xml:space="preserve">C. LOGISTICS &amp; POLICIES</t>
  </si>
  <si>
    <t xml:space="preserve">Location</t>
  </si>
  <si>
    <t xml:space="preserve">Pretoria East (farm, ~10 min from Pretoria East)</t>
  </si>
  <si>
    <t xml:space="preserve">Hartbeespoort (1 Oberon St, Redstone Estate)</t>
  </si>
  <si>
    <t xml:space="preserve">Tierpoort, Pretoria East (175 Nkwe Rd, Rolling Waters)</t>
  </si>
  <si>
    <t xml:space="preserve">Hartbeespoort, North West</t>
  </si>
  <si>
    <t xml:space="preserve">Distance from Unitas Hospital (km, approx.)</t>
  </si>
  <si>
    <t xml:space="preserve">ESTIMATES by road from Unitas Hospital, Lyttelton, Centurion – verify in Google Maps (not looked up live).</t>
  </si>
  <si>
    <t xml:space="preserve">Guest capacity</t>
  </si>
  <si>
    <t xml:space="preserve">Barn 100 / Distillery 250</t>
  </si>
  <si>
    <t xml:space="preserve">Not confirmed</t>
  </si>
  <si>
    <t xml:space="preserve">~60 (listing) – may be too small for 70</t>
  </si>
  <si>
    <t xml:space="preserve">Up to 150–500 (listings differ)</t>
  </si>
  <si>
    <t xml:space="preserve">Swanlake Corner is listed at ~60 people: check if 70 fit.</t>
  </si>
  <si>
    <t xml:space="preserve">Minimum guests</t>
  </si>
  <si>
    <t xml:space="preserve">Thu 50 / Public holiday 80 / Fri &amp; Sat 100</t>
  </si>
  <si>
    <t xml:space="preserve">Mon–Fri 60 / Sat–Sun 80 (Fri 25 Sep: 60)</t>
  </si>
  <si>
    <t xml:space="preserve">Not published</t>
  </si>
  <si>
    <t xml:space="preserve">Rosemary Hill: Friday minimum 100 &gt; your 70 guests (pay for 100 or negotiate); Wednesday minimum not published.</t>
  </si>
  <si>
    <t xml:space="preserve">Hire a DJ?</t>
  </si>
  <si>
    <t xml:space="preserve">Included in package</t>
  </si>
  <si>
    <t xml:space="preserve">Not confirmed – ask</t>
  </si>
  <si>
    <t xml:space="preserve">Yes – outside DJ allowed (no in-house DJ)</t>
  </si>
  <si>
    <t xml:space="preserve">External food vendors allowed?</t>
  </si>
  <si>
    <t xml:space="preserve">No – outside food &amp; beverage not permitted</t>
  </si>
  <si>
    <t xml:space="preserve">Not confirmed (in-house menus; ask)</t>
  </si>
  <si>
    <t xml:space="preserve">Yes – self-catering venue</t>
  </si>
  <si>
    <t xml:space="preserve">Yes – external caterers only</t>
  </si>
  <si>
    <t xml:space="preserve">Flowers / décor / accessories</t>
  </si>
  <si>
    <t xml:space="preserve">Tables, Tiffany chairs, fairy lights, coordinator included; ask re outside décor</t>
  </si>
  <si>
    <t xml:space="preserve">Outside decorators welcome</t>
  </si>
  <si>
    <t xml:space="preserve">Accommodation on site</t>
  </si>
  <si>
    <t xml:space="preserve">Yes – up to 142 guests; honeymoon suite incl.</t>
  </si>
  <si>
    <t xml:space="preserve">Yes – historic guest house (size unknown)</t>
  </si>
  <si>
    <t xml:space="preserve">Bridal party only</t>
  </si>
  <si>
    <t xml:space="preserve">Yes – 17 rooms</t>
  </si>
  <si>
    <t xml:space="preserve">Availability 23 / 25 Sep 2026</t>
  </si>
  <si>
    <t xml:space="preserve">To confirm</t>
  </si>
  <si>
    <t xml:space="preserve">Availability could not be checked online – email each venue.</t>
  </si>
  <si>
    <t xml:space="preserve">Contact</t>
  </si>
  <si>
    <t xml:space="preserve">info@rosemaryhill.co.za / 012 802 0052</t>
  </si>
  <si>
    <t xml:space="preserve">info@thebarnatredstone.com / 083 462 6111</t>
  </si>
  <si>
    <t xml:space="preserve">info@rollingwaters.co.za / 071 678 4887</t>
  </si>
  <si>
    <t xml:space="preserve">info@artelier.co.za / 068 368 0488</t>
  </si>
  <si>
    <t xml:space="preserve">Sources: Rosemary Hill (saweddings.co.za, rosemaryhill.co.za, Tripadvisor); The Barn at Redstone 2026 Wedding Packages PDF (thebarnatredstone.com); Swanlake Corner / Rolling Waters (rollingwaters.co.za, listings); Artelier (listings on wedmegood.com, nubianbride.co.za). Venue sites were not directly readable from the research environment – figures come from search summaries and must be confirmed by quote.</t>
  </si>
  <si>
    <t xml:space="preserve">Guest Selector – who should be invited?</t>
  </si>
  <si>
    <t xml:space="preserve">Rate 1–5 (5 = most). Pick Yes/Maybe/No from the dropdowns. Blue on yellow = your input. Score and suggestion are formulas.</t>
  </si>
  <si>
    <t xml:space="preserve">Weights (edit)</t>
  </si>
  <si>
    <t xml:space="preserve">Summary</t>
  </si>
  <si>
    <t xml:space="preserve">Seen in last year</t>
  </si>
  <si>
    <t xml:space="preserve">Weights are my assumption – adjust to what matters most to you.</t>
  </si>
  <si>
    <t xml:space="preserve">Guests listed</t>
  </si>
  <si>
    <t xml:space="preserve">Want them there</t>
  </si>
  <si>
    <t xml:space="preserve">Marked 'Should come' = Yes</t>
  </si>
  <si>
    <t xml:space="preserve">Family closeness</t>
  </si>
  <si>
    <t xml:space="preserve">…of which will come (Yes)</t>
  </si>
  <si>
    <t xml:space="preserve">Invite threshold (score out of 5)</t>
  </si>
  <si>
    <t xml:space="preserve">…of which maybe</t>
  </si>
  <si>
    <t xml:space="preserve">Row 12 is an example – overwrite it.</t>
  </si>
  <si>
    <t xml:space="preserve">Expected attendance (Yes + half of Maybe)</t>
  </si>
  <si>
    <t xml:space="preserve">Guest name</t>
  </si>
  <si>
    <t xml:space="preserve">Seen in last year (1–5)</t>
  </si>
  <si>
    <t xml:space="preserve">Want them there (1–5)</t>
  </si>
  <si>
    <t xml:space="preserve">Family closeness (1–5)</t>
  </si>
  <si>
    <t xml:space="preserve">Will they come?</t>
  </si>
  <si>
    <t xml:space="preserve">Should they come?</t>
  </si>
  <si>
    <t xml:space="preserve">Weighted score (/5)</t>
  </si>
  <si>
    <t xml:space="preserve">Suggestion</t>
  </si>
  <si>
    <t xml:space="preserve">Example: Aunt Sarah</t>
  </si>
  <si>
    <t xml:space="preserve">Yes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</si>
</sst>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R#,##0;&quot;(R&quot;#,##0\);\-"/>
    <numFmt numFmtId="167" formatCode="0"/>
    <numFmt numFmtId="168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63E2A"/>
        <bgColor rgb="FF333300"/>
      </patternFill>
    </fill>
    <fill>
      <patternFill patternType="solid">
        <fgColor rgb="FFE8EDE4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ED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E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3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  <c r="D4" s="6" t="s">
        <v>5</v>
      </c>
    </row>
    <row r="5" customFormat="false" ht="15" hidden="false" customHeight="false" outlineLevel="0" collapsed="false">
      <c r="A5" s="4" t="s">
        <v>6</v>
      </c>
      <c r="B5" s="5" t="n">
        <v>70</v>
      </c>
      <c r="D5" s="6" t="s">
        <v>7</v>
      </c>
    </row>
    <row r="6" customFormat="false" ht="15" hidden="false" customHeight="false" outlineLevel="0" collapsed="false">
      <c r="A6" s="4" t="s">
        <v>8</v>
      </c>
      <c r="B6" s="5" t="n">
        <v>15</v>
      </c>
      <c r="D6" s="6" t="s">
        <v>9</v>
      </c>
    </row>
    <row r="7" customFormat="false" ht="15" hidden="false" customHeight="false" outlineLevel="0" collapsed="false">
      <c r="A7" s="4" t="s">
        <v>10</v>
      </c>
      <c r="B7" s="5" t="n">
        <v>1</v>
      </c>
      <c r="D7" s="6"/>
    </row>
    <row r="8" customFormat="false" ht="15" hidden="false" customHeight="false" outlineLevel="0" collapsed="false">
      <c r="A8" s="4" t="s">
        <v>11</v>
      </c>
      <c r="B8" s="7" t="str">
        <f aca="false">IF(B4="23 Sep 2026","Wednesday","Friday")</f>
        <v>Friday</v>
      </c>
    </row>
    <row r="9" customFormat="false" ht="15" hidden="false" customHeight="false" outlineLevel="0" collapsed="false">
      <c r="A9" s="4" t="s">
        <v>12</v>
      </c>
      <c r="B9" s="8" t="n">
        <f aca="false">'Guest Selector'!G6</f>
        <v>1</v>
      </c>
      <c r="D9" s="6" t="s">
        <v>13</v>
      </c>
    </row>
    <row r="10" customFormat="false" ht="15" hidden="false" customHeight="false" outlineLevel="0" collapsed="false">
      <c r="A10" s="9" t="s">
        <v>14</v>
      </c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</row>
    <row r="11" customFormat="false" ht="15" hidden="false" customHeight="false" outlineLevel="0" collapsed="false">
      <c r="A11" s="10" t="s">
        <v>20</v>
      </c>
      <c r="B11" s="11"/>
      <c r="C11" s="11"/>
      <c r="D11" s="11"/>
      <c r="E11" s="11"/>
      <c r="F11" s="11"/>
    </row>
    <row r="12" customFormat="false" ht="22.35" hidden="false" customHeight="false" outlineLevel="0" collapsed="false">
      <c r="A12" s="12" t="s">
        <v>21</v>
      </c>
      <c r="B12" s="13"/>
      <c r="C12" s="13" t="n">
        <v>22000</v>
      </c>
      <c r="D12" s="13"/>
      <c r="E12" s="13"/>
      <c r="F12" s="14" t="s">
        <v>22</v>
      </c>
    </row>
    <row r="13" customFormat="false" ht="32.8" hidden="false" customHeight="false" outlineLevel="0" collapsed="false">
      <c r="A13" s="12" t="s">
        <v>23</v>
      </c>
      <c r="B13" s="13"/>
      <c r="C13" s="13" t="n">
        <v>35000</v>
      </c>
      <c r="D13" s="13"/>
      <c r="E13" s="13"/>
      <c r="F13" s="14" t="s">
        <v>24</v>
      </c>
    </row>
    <row r="14" customFormat="false" ht="32.8" hidden="false" customHeight="false" outlineLevel="0" collapsed="false">
      <c r="A14" s="12" t="s">
        <v>25</v>
      </c>
      <c r="B14" s="13" t="n">
        <v>475</v>
      </c>
      <c r="C14" s="13" t="n">
        <v>850</v>
      </c>
      <c r="D14" s="13"/>
      <c r="E14" s="13"/>
      <c r="F14" s="14" t="s">
        <v>26</v>
      </c>
    </row>
    <row r="15" customFormat="false" ht="32.8" hidden="false" customHeight="false" outlineLevel="0" collapsed="false">
      <c r="A15" s="12" t="s">
        <v>27</v>
      </c>
      <c r="B15" s="13" t="n">
        <v>2900</v>
      </c>
      <c r="C15" s="13"/>
      <c r="D15" s="13"/>
      <c r="E15" s="13" t="n">
        <v>6000</v>
      </c>
      <c r="F15" s="14" t="s">
        <v>28</v>
      </c>
    </row>
    <row r="16" customFormat="false" ht="22.35" hidden="false" customHeight="false" outlineLevel="0" collapsed="false">
      <c r="A16" s="12" t="s">
        <v>29</v>
      </c>
      <c r="B16" s="13" t="n">
        <v>0</v>
      </c>
      <c r="C16" s="13"/>
      <c r="D16" s="13"/>
      <c r="E16" s="13"/>
      <c r="F16" s="14" t="s">
        <v>30</v>
      </c>
    </row>
    <row r="17" customFormat="false" ht="15" hidden="false" customHeight="false" outlineLevel="0" collapsed="false">
      <c r="A17" s="12" t="s">
        <v>31</v>
      </c>
      <c r="B17" s="13"/>
      <c r="C17" s="13"/>
      <c r="D17" s="13"/>
      <c r="E17" s="13"/>
      <c r="F17" s="14" t="s">
        <v>32</v>
      </c>
    </row>
    <row r="18" customFormat="false" ht="15" hidden="false" customHeight="false" outlineLevel="0" collapsed="false">
      <c r="A18" s="12" t="s">
        <v>33</v>
      </c>
      <c r="B18" s="13" t="n">
        <v>0</v>
      </c>
      <c r="C18" s="13" t="n">
        <v>0</v>
      </c>
      <c r="D18" s="13" t="n">
        <v>0</v>
      </c>
      <c r="E18" s="13" t="n">
        <v>0</v>
      </c>
      <c r="F18" s="14" t="s">
        <v>34</v>
      </c>
    </row>
    <row r="19" customFormat="false" ht="15" hidden="false" customHeight="false" outlineLevel="0" collapsed="false">
      <c r="A19" s="10" t="s">
        <v>35</v>
      </c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2" t="s">
        <v>36</v>
      </c>
      <c r="B20" s="15" t="n">
        <f aca="false">IF($B$8="Wednesday",B12,B13)</f>
        <v>0</v>
      </c>
      <c r="C20" s="15" t="n">
        <f aca="false">IF($B$8="Wednesday",C12,C13)</f>
        <v>35000</v>
      </c>
      <c r="D20" s="15" t="n">
        <f aca="false">IF($B$8="Wednesday",D12,D13)</f>
        <v>0</v>
      </c>
      <c r="E20" s="15" t="n">
        <f aca="false">IF($B$8="Wednesday",E12,E13)</f>
        <v>0</v>
      </c>
      <c r="F20" s="14" t="s">
        <v>37</v>
      </c>
    </row>
    <row r="21" customFormat="false" ht="15" hidden="false" customHeight="false" outlineLevel="0" collapsed="false">
      <c r="A21" s="12" t="s">
        <v>38</v>
      </c>
      <c r="B21" s="15" t="n">
        <f aca="false">B14*$B$5</f>
        <v>33250</v>
      </c>
      <c r="C21" s="15" t="n">
        <f aca="false">C14*$B$5</f>
        <v>59500</v>
      </c>
      <c r="D21" s="15" t="n">
        <f aca="false">D14*$B$5</f>
        <v>0</v>
      </c>
      <c r="E21" s="15" t="n">
        <f aca="false">E14*$B$5</f>
        <v>0</v>
      </c>
      <c r="F21" s="14"/>
    </row>
    <row r="22" customFormat="false" ht="15" hidden="false" customHeight="false" outlineLevel="0" collapsed="false">
      <c r="A22" s="12" t="s">
        <v>39</v>
      </c>
      <c r="B22" s="15" t="n">
        <f aca="false">B15*$B$6*$B$7</f>
        <v>43500</v>
      </c>
      <c r="C22" s="15" t="n">
        <f aca="false">C15*$B$6*$B$7</f>
        <v>0</v>
      </c>
      <c r="D22" s="15" t="n">
        <f aca="false">D15*$B$6*$B$7</f>
        <v>0</v>
      </c>
      <c r="E22" s="15" t="n">
        <f aca="false">E15*$B$6*$B$7</f>
        <v>90000</v>
      </c>
      <c r="F22" s="14"/>
    </row>
    <row r="23" customFormat="false" ht="15" hidden="false" customHeight="false" outlineLevel="0" collapsed="false">
      <c r="A23" s="12" t="s">
        <v>40</v>
      </c>
      <c r="B23" s="15" t="n">
        <f aca="false">SUM(B16:B18)</f>
        <v>0</v>
      </c>
      <c r="C23" s="15" t="n">
        <f aca="false">SUM(C16:C18)</f>
        <v>0</v>
      </c>
      <c r="D23" s="15" t="n">
        <f aca="false">SUM(D16:D18)</f>
        <v>0</v>
      </c>
      <c r="E23" s="15" t="n">
        <f aca="false">SUM(E16:E18)</f>
        <v>0</v>
      </c>
      <c r="F23" s="14"/>
    </row>
    <row r="24" customFormat="false" ht="15" hidden="false" customHeight="false" outlineLevel="0" collapsed="false">
      <c r="A24" s="16" t="s">
        <v>41</v>
      </c>
      <c r="B24" s="17" t="n">
        <f aca="false">SUM(B20:B23)</f>
        <v>76750</v>
      </c>
      <c r="C24" s="17" t="n">
        <f aca="false">SUM(C20:C23)</f>
        <v>94500</v>
      </c>
      <c r="D24" s="17" t="n">
        <f aca="false">SUM(D20:D23)</f>
        <v>0</v>
      </c>
      <c r="E24" s="17" t="n">
        <f aca="false">SUM(E20:E23)</f>
        <v>90000</v>
      </c>
      <c r="F24" s="14" t="s">
        <v>42</v>
      </c>
    </row>
    <row r="25" customFormat="false" ht="15" hidden="false" customHeight="false" outlineLevel="0" collapsed="false">
      <c r="A25" s="12" t="s">
        <v>43</v>
      </c>
      <c r="B25" s="15" t="n">
        <f aca="false">IF($B$5&gt;0,B24/$B$5,0)</f>
        <v>1096.42857142857</v>
      </c>
      <c r="C25" s="15" t="n">
        <f aca="false">IF($B$5&gt;0,C24/$B$5,0)</f>
        <v>1350</v>
      </c>
      <c r="D25" s="15" t="n">
        <f aca="false">IF($B$5&gt;0,D24/$B$5,0)</f>
        <v>0</v>
      </c>
      <c r="E25" s="15" t="n">
        <f aca="false">IF($B$5&gt;0,E24/$B$5,0)</f>
        <v>1285.71428571429</v>
      </c>
      <c r="F25" s="14"/>
    </row>
    <row r="26" customFormat="false" ht="15" hidden="false" customHeight="false" outlineLevel="0" collapsed="false">
      <c r="A26" s="12" t="s">
        <v>44</v>
      </c>
      <c r="B26" s="18" t="n">
        <f aca="false">COUNTBLANK(B12:B18)</f>
        <v>3</v>
      </c>
      <c r="C26" s="18" t="n">
        <f aca="false">COUNTBLANK(C12:C18)</f>
        <v>3</v>
      </c>
      <c r="D26" s="18" t="n">
        <f aca="false">COUNTBLANK(D12:D18)</f>
        <v>6</v>
      </c>
      <c r="E26" s="18" t="n">
        <f aca="false">COUNTBLANK(E12:E18)</f>
        <v>5</v>
      </c>
      <c r="F26" s="14" t="s">
        <v>45</v>
      </c>
    </row>
    <row r="27" customFormat="false" ht="15" hidden="false" customHeight="false" outlineLevel="0" collapsed="false">
      <c r="A27" s="10" t="s">
        <v>46</v>
      </c>
      <c r="B27" s="11"/>
      <c r="C27" s="11"/>
      <c r="D27" s="11"/>
      <c r="E27" s="11"/>
      <c r="F27" s="11"/>
    </row>
    <row r="28" customFormat="false" ht="23.85" hidden="false" customHeight="false" outlineLevel="0" collapsed="false">
      <c r="A28" s="12" t="s">
        <v>47</v>
      </c>
      <c r="B28" s="19" t="s">
        <v>48</v>
      </c>
      <c r="C28" s="19" t="s">
        <v>49</v>
      </c>
      <c r="D28" s="19" t="s">
        <v>50</v>
      </c>
      <c r="E28" s="19" t="s">
        <v>51</v>
      </c>
      <c r="F28" s="14"/>
    </row>
    <row r="29" customFormat="false" ht="22.35" hidden="false" customHeight="false" outlineLevel="0" collapsed="false">
      <c r="A29" s="12" t="s">
        <v>52</v>
      </c>
      <c r="B29" s="20" t="n">
        <v>40</v>
      </c>
      <c r="C29" s="20" t="n">
        <v>60</v>
      </c>
      <c r="D29" s="20" t="n">
        <v>50</v>
      </c>
      <c r="E29" s="20" t="n">
        <v>65</v>
      </c>
      <c r="F29" s="14" t="s">
        <v>53</v>
      </c>
    </row>
    <row r="30" customFormat="false" ht="23.85" hidden="false" customHeight="false" outlineLevel="0" collapsed="false">
      <c r="A30" s="12" t="s">
        <v>54</v>
      </c>
      <c r="B30" s="19" t="s">
        <v>55</v>
      </c>
      <c r="C30" s="19" t="s">
        <v>56</v>
      </c>
      <c r="D30" s="19" t="s">
        <v>57</v>
      </c>
      <c r="E30" s="19" t="s">
        <v>58</v>
      </c>
      <c r="F30" s="14" t="s">
        <v>59</v>
      </c>
    </row>
    <row r="31" customFormat="false" ht="23.85" hidden="false" customHeight="false" outlineLevel="0" collapsed="false">
      <c r="A31" s="12" t="s">
        <v>60</v>
      </c>
      <c r="B31" s="19" t="s">
        <v>61</v>
      </c>
      <c r="C31" s="19" t="s">
        <v>62</v>
      </c>
      <c r="D31" s="19" t="s">
        <v>63</v>
      </c>
      <c r="E31" s="19" t="s">
        <v>63</v>
      </c>
      <c r="F31" s="14" t="s">
        <v>64</v>
      </c>
    </row>
    <row r="32" customFormat="false" ht="23.85" hidden="false" customHeight="false" outlineLevel="0" collapsed="false">
      <c r="A32" s="12" t="s">
        <v>65</v>
      </c>
      <c r="B32" s="19" t="s">
        <v>66</v>
      </c>
      <c r="C32" s="19" t="s">
        <v>67</v>
      </c>
      <c r="D32" s="19" t="s">
        <v>67</v>
      </c>
      <c r="E32" s="19" t="s">
        <v>68</v>
      </c>
      <c r="F32" s="14"/>
    </row>
    <row r="33" customFormat="false" ht="23.85" hidden="false" customHeight="false" outlineLevel="0" collapsed="false">
      <c r="A33" s="12" t="s">
        <v>69</v>
      </c>
      <c r="B33" s="19" t="s">
        <v>70</v>
      </c>
      <c r="C33" s="19" t="s">
        <v>71</v>
      </c>
      <c r="D33" s="19" t="s">
        <v>72</v>
      </c>
      <c r="E33" s="19" t="s">
        <v>73</v>
      </c>
      <c r="F33" s="14"/>
    </row>
    <row r="34" customFormat="false" ht="35.05" hidden="false" customHeight="false" outlineLevel="0" collapsed="false">
      <c r="A34" s="12" t="s">
        <v>74</v>
      </c>
      <c r="B34" s="19" t="s">
        <v>67</v>
      </c>
      <c r="C34" s="19" t="s">
        <v>75</v>
      </c>
      <c r="D34" s="19" t="s">
        <v>67</v>
      </c>
      <c r="E34" s="19" t="s">
        <v>76</v>
      </c>
      <c r="F34" s="14"/>
    </row>
    <row r="35" customFormat="false" ht="23.85" hidden="false" customHeight="false" outlineLevel="0" collapsed="false">
      <c r="A35" s="12" t="s">
        <v>77</v>
      </c>
      <c r="B35" s="19" t="s">
        <v>78</v>
      </c>
      <c r="C35" s="19" t="s">
        <v>79</v>
      </c>
      <c r="D35" s="19" t="s">
        <v>80</v>
      </c>
      <c r="E35" s="19" t="s">
        <v>81</v>
      </c>
      <c r="F35" s="14"/>
    </row>
    <row r="36" customFormat="false" ht="15" hidden="false" customHeight="false" outlineLevel="0" collapsed="false">
      <c r="A36" s="12" t="s">
        <v>82</v>
      </c>
      <c r="B36" s="19" t="s">
        <v>83</v>
      </c>
      <c r="C36" s="19" t="s">
        <v>83</v>
      </c>
      <c r="D36" s="19" t="s">
        <v>83</v>
      </c>
      <c r="E36" s="19" t="s">
        <v>83</v>
      </c>
      <c r="F36" s="14" t="s">
        <v>84</v>
      </c>
    </row>
    <row r="37" customFormat="false" ht="23.85" hidden="false" customHeight="false" outlineLevel="0" collapsed="false">
      <c r="A37" s="12" t="s">
        <v>85</v>
      </c>
      <c r="B37" s="19" t="s">
        <v>86</v>
      </c>
      <c r="C37" s="19" t="s">
        <v>87</v>
      </c>
      <c r="D37" s="19" t="s">
        <v>88</v>
      </c>
      <c r="E37" s="19" t="s">
        <v>89</v>
      </c>
      <c r="F37" s="14"/>
    </row>
    <row r="39" customFormat="false" ht="48" hidden="false" customHeight="true" outlineLevel="0" collapsed="false">
      <c r="A39" s="21" t="s">
        <v>90</v>
      </c>
      <c r="B39" s="21"/>
      <c r="C39" s="21"/>
      <c r="D39" s="21"/>
      <c r="E39" s="21"/>
      <c r="F39" s="21"/>
    </row>
  </sheetData>
  <mergeCells count="1">
    <mergeCell ref="A39:F39"/>
  </mergeCells>
  <conditionalFormatting sqref="B24:E24">
    <cfRule type="expression" priority="2" aboveAverage="0" equalAverage="0" bottom="0" percent="0" rank="0" text="" dxfId="0">
      <formula>AND(B24=MIN($B$24:$E$24),B24&gt;0)</formula>
    </cfRule>
  </conditionalFormatting>
  <dataValidations count="1">
    <dataValidation allowBlank="false" errorStyle="stop" operator="between" showDropDown="false" showErrorMessage="false" showInputMessage="false" sqref="B4" type="list">
      <formula1>"23 Sep 2026,25 Sep 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7"/>
    <col collapsed="false" customWidth="true" hidden="false" outlineLevel="0" max="5" min="5" style="0" width="34"/>
    <col collapsed="false" customWidth="true" hidden="false" outlineLevel="0" max="8" min="6" style="0" width="17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4" t="s">
        <v>93</v>
      </c>
      <c r="E4" s="4" t="s">
        <v>94</v>
      </c>
    </row>
    <row r="5" customFormat="false" ht="15" hidden="false" customHeight="false" outlineLevel="0" collapsed="false">
      <c r="A5" s="7" t="s">
        <v>95</v>
      </c>
      <c r="B5" s="22" t="n">
        <v>1</v>
      </c>
      <c r="C5" s="23" t="s">
        <v>96</v>
      </c>
      <c r="E5" s="7" t="s">
        <v>97</v>
      </c>
      <c r="G5" s="4" t="n">
        <f aca="false">COUNTA(A12:A101)</f>
        <v>1</v>
      </c>
    </row>
    <row r="6" customFormat="false" ht="15" hidden="false" customHeight="false" outlineLevel="0" collapsed="false">
      <c r="A6" s="7" t="s">
        <v>98</v>
      </c>
      <c r="B6" s="22" t="n">
        <v>2</v>
      </c>
      <c r="E6" s="7" t="s">
        <v>99</v>
      </c>
      <c r="G6" s="4" t="n">
        <f aca="false">COUNTIF(F12:F101,"Yes")</f>
        <v>1</v>
      </c>
    </row>
    <row r="7" customFormat="false" ht="15" hidden="false" customHeight="false" outlineLevel="0" collapsed="false">
      <c r="A7" s="7" t="s">
        <v>100</v>
      </c>
      <c r="B7" s="22" t="n">
        <v>2</v>
      </c>
      <c r="E7" s="7" t="s">
        <v>101</v>
      </c>
      <c r="G7" s="4" t="n">
        <f aca="false">COUNTIFS(F12:F101,"Yes",E12:E101,"Yes")</f>
        <v>1</v>
      </c>
    </row>
    <row r="8" customFormat="false" ht="15" hidden="false" customHeight="false" outlineLevel="0" collapsed="false">
      <c r="A8" s="7" t="s">
        <v>102</v>
      </c>
      <c r="B8" s="22" t="n">
        <v>3.2</v>
      </c>
      <c r="E8" s="7" t="s">
        <v>103</v>
      </c>
      <c r="G8" s="4" t="n">
        <f aca="false">COUNTIFS(F12:F101,"Yes",E12:E101,"Maybe")</f>
        <v>0</v>
      </c>
    </row>
    <row r="9" customFormat="false" ht="15" hidden="false" customHeight="false" outlineLevel="0" collapsed="false">
      <c r="A9" s="24" t="s">
        <v>104</v>
      </c>
      <c r="E9" s="7" t="s">
        <v>105</v>
      </c>
      <c r="G9" s="4" t="n">
        <f aca="false">G7+G8*0.5</f>
        <v>1</v>
      </c>
    </row>
    <row r="11" customFormat="false" ht="31.5" hidden="false" customHeight="true" outlineLevel="0" collapsed="false">
      <c r="A11" s="9" t="s">
        <v>106</v>
      </c>
      <c r="B11" s="9" t="s">
        <v>107</v>
      </c>
      <c r="C11" s="9" t="s">
        <v>108</v>
      </c>
      <c r="D11" s="9" t="s">
        <v>109</v>
      </c>
      <c r="E11" s="9" t="s">
        <v>110</v>
      </c>
      <c r="F11" s="9" t="s">
        <v>111</v>
      </c>
      <c r="G11" s="9" t="s">
        <v>112</v>
      </c>
      <c r="H11" s="9" t="s">
        <v>113</v>
      </c>
    </row>
    <row r="12" customFormat="false" ht="15" hidden="false" customHeight="false" outlineLevel="0" collapsed="false">
      <c r="A12" s="22" t="s">
        <v>114</v>
      </c>
      <c r="B12" s="22" t="n">
        <v>3</v>
      </c>
      <c r="C12" s="22" t="n">
        <v>5</v>
      </c>
      <c r="D12" s="22" t="n">
        <v>5</v>
      </c>
      <c r="E12" s="22" t="s">
        <v>115</v>
      </c>
      <c r="F12" s="22" t="s">
        <v>115</v>
      </c>
      <c r="G12" s="25" t="n">
        <f aca="false">IF(OR(A12="",B12="",C12="",D12=""),"",ROUND((B12*$B$5+C12*$B$6+D12*$B$7)/SUM($B$5:$B$7),2))</f>
        <v>4.6</v>
      </c>
      <c r="H12" s="26" t="str">
        <f aca="false">IF(G12="","",IF(G12&gt;=$B$8,"Invite",IF(G12&gt;=$B$8-0.75,"Borderline","Leave off")))</f>
        <v>Invite</v>
      </c>
    </row>
    <row r="13" customFormat="false" ht="15" hidden="false" customHeight="false" outlineLevel="0" collapsed="false">
      <c r="A13" s="22"/>
      <c r="B13" s="22"/>
      <c r="C13" s="22"/>
      <c r="D13" s="22"/>
      <c r="E13" s="22"/>
      <c r="F13" s="22"/>
      <c r="G13" s="25" t="str">
        <f aca="false">IF(OR(A13="",B13="",C13="",D13=""),"",ROUND((B13*$B$5+C13*$B$6+D13*$B$7)/SUM($B$5:$B$7),2))</f>
        <v/>
      </c>
      <c r="H13" s="26" t="str">
        <f aca="false">IF(G13="","",IF(G13&gt;=$B$8,"Invite",IF(G13&gt;=$B$8-0.75,"Borderline","Leave off")))</f>
        <v/>
      </c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22"/>
      <c r="G14" s="25" t="str">
        <f aca="false">IF(OR(A14="",B14="",C14="",D14=""),"",ROUND((B14*$B$5+C14*$B$6+D14*$B$7)/SUM($B$5:$B$7),2))</f>
        <v/>
      </c>
      <c r="H14" s="26" t="str">
        <f aca="false">IF(G14="","",IF(G14&gt;=$B$8,"Invite",IF(G14&gt;=$B$8-0.75,"Borderline","Leave off")))</f>
        <v/>
      </c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22"/>
      <c r="G15" s="25" t="str">
        <f aca="false">IF(OR(A15="",B15="",C15="",D15=""),"",ROUND((B15*$B$5+C15*$B$6+D15*$B$7)/SUM($B$5:$B$7),2))</f>
        <v/>
      </c>
      <c r="H15" s="26" t="str">
        <f aca="false">IF(G15="","",IF(G15&gt;=$B$8,"Invite",IF(G15&gt;=$B$8-0.75,"Borderline","Leave off")))</f>
        <v/>
      </c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5" t="str">
        <f aca="false">IF(OR(A16="",B16="",C16="",D16=""),"",ROUND((B16*$B$5+C16*$B$6+D16*$B$7)/SUM($B$5:$B$7),2))</f>
        <v/>
      </c>
      <c r="H16" s="26" t="str">
        <f aca="false">IF(G16="","",IF(G16&gt;=$B$8,"Invite",IF(G16&gt;=$B$8-0.75,"Borderline","Leave off")))</f>
        <v/>
      </c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22"/>
      <c r="G17" s="25" t="str">
        <f aca="false">IF(OR(A17="",B17="",C17="",D17=""),"",ROUND((B17*$B$5+C17*$B$6+D17*$B$7)/SUM($B$5:$B$7),2))</f>
        <v/>
      </c>
      <c r="H17" s="26" t="str">
        <f aca="false">IF(G17="","",IF(G17&gt;=$B$8,"Invite",IF(G17&gt;=$B$8-0.75,"Borderline","Leave off")))</f>
        <v/>
      </c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5" t="str">
        <f aca="false">IF(OR(A18="",B18="",C18="",D18=""),"",ROUND((B18*$B$5+C18*$B$6+D18*$B$7)/SUM($B$5:$B$7),2))</f>
        <v/>
      </c>
      <c r="H18" s="26" t="str">
        <f aca="false">IF(G18="","",IF(G18&gt;=$B$8,"Invite",IF(G18&gt;=$B$8-0.75,"Borderline","Leave off")))</f>
        <v/>
      </c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5" t="str">
        <f aca="false">IF(OR(A19="",B19="",C19="",D19=""),"",ROUND((B19*$B$5+C19*$B$6+D19*$B$7)/SUM($B$5:$B$7),2))</f>
        <v/>
      </c>
      <c r="H19" s="26" t="str">
        <f aca="false">IF(G19="","",IF(G19&gt;=$B$8,"Invite",IF(G19&gt;=$B$8-0.75,"Borderline","Leave off")))</f>
        <v/>
      </c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5" t="str">
        <f aca="false">IF(OR(A20="",B20="",C20="",D20=""),"",ROUND((B20*$B$5+C20*$B$6+D20*$B$7)/SUM($B$5:$B$7),2))</f>
        <v/>
      </c>
      <c r="H20" s="26" t="str">
        <f aca="false">IF(G20="","",IF(G20&gt;=$B$8,"Invite",IF(G20&gt;=$B$8-0.75,"Borderline","Leave off")))</f>
        <v/>
      </c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22"/>
      <c r="G21" s="25" t="str">
        <f aca="false">IF(OR(A21="",B21="",C21="",D21=""),"",ROUND((B21*$B$5+C21*$B$6+D21*$B$7)/SUM($B$5:$B$7),2))</f>
        <v/>
      </c>
      <c r="H21" s="26" t="str">
        <f aca="false">IF(G21="","",IF(G21&gt;=$B$8,"Invite",IF(G21&gt;=$B$8-0.75,"Borderline","Leave off")))</f>
        <v/>
      </c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5" t="str">
        <f aca="false">IF(OR(A22="",B22="",C22="",D22=""),"",ROUND((B22*$B$5+C22*$B$6+D22*$B$7)/SUM($B$5:$B$7),2))</f>
        <v/>
      </c>
      <c r="H22" s="26" t="str">
        <f aca="false">IF(G22="","",IF(G22&gt;=$B$8,"Invite",IF(G22&gt;=$B$8-0.75,"Borderline","Leave off")))</f>
        <v/>
      </c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  <c r="G23" s="25" t="str">
        <f aca="false">IF(OR(A23="",B23="",C23="",D23=""),"",ROUND((B23*$B$5+C23*$B$6+D23*$B$7)/SUM($B$5:$B$7),2))</f>
        <v/>
      </c>
      <c r="H23" s="26" t="str">
        <f aca="false">IF(G23="","",IF(G23&gt;=$B$8,"Invite",IF(G23&gt;=$B$8-0.75,"Borderline","Leave off")))</f>
        <v/>
      </c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5" t="str">
        <f aca="false">IF(OR(A24="",B24="",C24="",D24=""),"",ROUND((B24*$B$5+C24*$B$6+D24*$B$7)/SUM($B$5:$B$7),2))</f>
        <v/>
      </c>
      <c r="H24" s="26" t="str">
        <f aca="false">IF(G24="","",IF(G24&gt;=$B$8,"Invite",IF(G24&gt;=$B$8-0.75,"Borderline","Leave off")))</f>
        <v/>
      </c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5" t="str">
        <f aca="false">IF(OR(A25="",B25="",C25="",D25=""),"",ROUND((B25*$B$5+C25*$B$6+D25*$B$7)/SUM($B$5:$B$7),2))</f>
        <v/>
      </c>
      <c r="H25" s="26" t="str">
        <f aca="false">IF(G25="","",IF(G25&gt;=$B$8,"Invite",IF(G25&gt;=$B$8-0.75,"Borderline","Leave off")))</f>
        <v/>
      </c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5" t="str">
        <f aca="false">IF(OR(A26="",B26="",C26="",D26=""),"",ROUND((B26*$B$5+C26*$B$6+D26*$B$7)/SUM($B$5:$B$7),2))</f>
        <v/>
      </c>
      <c r="H26" s="26" t="str">
        <f aca="false">IF(G26="","",IF(G26&gt;=$B$8,"Invite",IF(G26&gt;=$B$8-0.75,"Borderline","Leave off")))</f>
        <v/>
      </c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5" t="str">
        <f aca="false">IF(OR(A27="",B27="",C27="",D27=""),"",ROUND((B27*$B$5+C27*$B$6+D27*$B$7)/SUM($B$5:$B$7),2))</f>
        <v/>
      </c>
      <c r="H27" s="26" t="str">
        <f aca="false">IF(G27="","",IF(G27&gt;=$B$8,"Invite",IF(G27&gt;=$B$8-0.75,"Borderline","Leave off")))</f>
        <v/>
      </c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5" t="str">
        <f aca="false">IF(OR(A28="",B28="",C28="",D28=""),"",ROUND((B28*$B$5+C28*$B$6+D28*$B$7)/SUM($B$5:$B$7),2))</f>
        <v/>
      </c>
      <c r="H28" s="26" t="str">
        <f aca="false">IF(G28="","",IF(G28&gt;=$B$8,"Invite",IF(G28&gt;=$B$8-0.75,"Borderline","Leave off")))</f>
        <v/>
      </c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5" t="str">
        <f aca="false">IF(OR(A29="",B29="",C29="",D29=""),"",ROUND((B29*$B$5+C29*$B$6+D29*$B$7)/SUM($B$5:$B$7),2))</f>
        <v/>
      </c>
      <c r="H29" s="26" t="str">
        <f aca="false">IF(G29="","",IF(G29&gt;=$B$8,"Invite",IF(G29&gt;=$B$8-0.75,"Borderline","Leave off")))</f>
        <v/>
      </c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5" t="str">
        <f aca="false">IF(OR(A30="",B30="",C30="",D30=""),"",ROUND((B30*$B$5+C30*$B$6+D30*$B$7)/SUM($B$5:$B$7),2))</f>
        <v/>
      </c>
      <c r="H30" s="26" t="str">
        <f aca="false">IF(G30="","",IF(G30&gt;=$B$8,"Invite",IF(G30&gt;=$B$8-0.75,"Borderline","Leave off")))</f>
        <v/>
      </c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5" t="str">
        <f aca="false">IF(OR(A31="",B31="",C31="",D31=""),"",ROUND((B31*$B$5+C31*$B$6+D31*$B$7)/SUM($B$5:$B$7),2))</f>
        <v/>
      </c>
      <c r="H31" s="26" t="str">
        <f aca="false">IF(G31="","",IF(G31&gt;=$B$8,"Invite",IF(G31&gt;=$B$8-0.75,"Borderline","Leave off")))</f>
        <v/>
      </c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5" t="str">
        <f aca="false">IF(OR(A32="",B32="",C32="",D32=""),"",ROUND((B32*$B$5+C32*$B$6+D32*$B$7)/SUM($B$5:$B$7),2))</f>
        <v/>
      </c>
      <c r="H32" s="26" t="str">
        <f aca="false">IF(G32="","",IF(G32&gt;=$B$8,"Invite",IF(G32&gt;=$B$8-0.75,"Borderline","Leave off")))</f>
        <v/>
      </c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5" t="str">
        <f aca="false">IF(OR(A33="",B33="",C33="",D33=""),"",ROUND((B33*$B$5+C33*$B$6+D33*$B$7)/SUM($B$5:$B$7),2))</f>
        <v/>
      </c>
      <c r="H33" s="26" t="str">
        <f aca="false">IF(G33="","",IF(G33&gt;=$B$8,"Invite",IF(G33&gt;=$B$8-0.75,"Borderline","Leave off")))</f>
        <v/>
      </c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5" t="str">
        <f aca="false">IF(OR(A34="",B34="",C34="",D34=""),"",ROUND((B34*$B$5+C34*$B$6+D34*$B$7)/SUM($B$5:$B$7),2))</f>
        <v/>
      </c>
      <c r="H34" s="26" t="str">
        <f aca="false">IF(G34="","",IF(G34&gt;=$B$8,"Invite",IF(G34&gt;=$B$8-0.75,"Borderline","Leave off")))</f>
        <v/>
      </c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5" t="str">
        <f aca="false">IF(OR(A35="",B35="",C35="",D35=""),"",ROUND((B35*$B$5+C35*$B$6+D35*$B$7)/SUM($B$5:$B$7),2))</f>
        <v/>
      </c>
      <c r="H35" s="26" t="str">
        <f aca="false">IF(G35="","",IF(G35&gt;=$B$8,"Invite",IF(G35&gt;=$B$8-0.75,"Borderline","Leave off")))</f>
        <v/>
      </c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5" t="str">
        <f aca="false">IF(OR(A36="",B36="",C36="",D36=""),"",ROUND((B36*$B$5+C36*$B$6+D36*$B$7)/SUM($B$5:$B$7),2))</f>
        <v/>
      </c>
      <c r="H36" s="26" t="str">
        <f aca="false">IF(G36="","",IF(G36&gt;=$B$8,"Invite",IF(G36&gt;=$B$8-0.75,"Borderline","Leave off")))</f>
        <v/>
      </c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2"/>
      <c r="G37" s="25" t="str">
        <f aca="false">IF(OR(A37="",B37="",C37="",D37=""),"",ROUND((B37*$B$5+C37*$B$6+D37*$B$7)/SUM($B$5:$B$7),2))</f>
        <v/>
      </c>
      <c r="H37" s="26" t="str">
        <f aca="false">IF(G37="","",IF(G37&gt;=$B$8,"Invite",IF(G37&gt;=$B$8-0.75,"Borderline","Leave off")))</f>
        <v/>
      </c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2"/>
      <c r="G38" s="25" t="str">
        <f aca="false">IF(OR(A38="",B38="",C38="",D38=""),"",ROUND((B38*$B$5+C38*$B$6+D38*$B$7)/SUM($B$5:$B$7),2))</f>
        <v/>
      </c>
      <c r="H38" s="26" t="str">
        <f aca="false">IF(G38="","",IF(G38&gt;=$B$8,"Invite",IF(G38&gt;=$B$8-0.75,"Borderline","Leave off")))</f>
        <v/>
      </c>
    </row>
    <row r="39" customFormat="false" ht="15" hidden="false" customHeight="false" outlineLevel="0" collapsed="false">
      <c r="A39" s="22"/>
      <c r="B39" s="22"/>
      <c r="C39" s="22"/>
      <c r="D39" s="22"/>
      <c r="E39" s="22"/>
      <c r="F39" s="22"/>
      <c r="G39" s="25" t="str">
        <f aca="false">IF(OR(A39="",B39="",C39="",D39=""),"",ROUND((B39*$B$5+C39*$B$6+D39*$B$7)/SUM($B$5:$B$7),2))</f>
        <v/>
      </c>
      <c r="H39" s="26" t="str">
        <f aca="false">IF(G39="","",IF(G39&gt;=$B$8,"Invite",IF(G39&gt;=$B$8-0.75,"Borderline","Leave off")))</f>
        <v/>
      </c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5" t="str">
        <f aca="false">IF(OR(A40="",B40="",C40="",D40=""),"",ROUND((B40*$B$5+C40*$B$6+D40*$B$7)/SUM($B$5:$B$7),2))</f>
        <v/>
      </c>
      <c r="H40" s="26" t="str">
        <f aca="false">IF(G40="","",IF(G40&gt;=$B$8,"Invite",IF(G40&gt;=$B$8-0.75,"Borderline","Leave off")))</f>
        <v/>
      </c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2"/>
      <c r="G41" s="25" t="str">
        <f aca="false">IF(OR(A41="",B41="",C41="",D41=""),"",ROUND((B41*$B$5+C41*$B$6+D41*$B$7)/SUM($B$5:$B$7),2))</f>
        <v/>
      </c>
      <c r="H41" s="26" t="str">
        <f aca="false">IF(G41="","",IF(G41&gt;=$B$8,"Invite",IF(G41&gt;=$B$8-0.75,"Borderline","Leave off")))</f>
        <v/>
      </c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2"/>
      <c r="G42" s="25" t="str">
        <f aca="false">IF(OR(A42="",B42="",C42="",D42=""),"",ROUND((B42*$B$5+C42*$B$6+D42*$B$7)/SUM($B$5:$B$7),2))</f>
        <v/>
      </c>
      <c r="H42" s="26" t="str">
        <f aca="false">IF(G42="","",IF(G42&gt;=$B$8,"Invite",IF(G42&gt;=$B$8-0.75,"Borderline","Leave off")))</f>
        <v/>
      </c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2"/>
      <c r="G43" s="25" t="str">
        <f aca="false">IF(OR(A43="",B43="",C43="",D43=""),"",ROUND((B43*$B$5+C43*$B$6+D43*$B$7)/SUM($B$5:$B$7),2))</f>
        <v/>
      </c>
      <c r="H43" s="26" t="str">
        <f aca="false">IF(G43="","",IF(G43&gt;=$B$8,"Invite",IF(G43&gt;=$B$8-0.75,"Borderline","Leave off")))</f>
        <v/>
      </c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2"/>
      <c r="G44" s="25" t="str">
        <f aca="false">IF(OR(A44="",B44="",C44="",D44=""),"",ROUND((B44*$B$5+C44*$B$6+D44*$B$7)/SUM($B$5:$B$7),2))</f>
        <v/>
      </c>
      <c r="H44" s="26" t="str">
        <f aca="false">IF(G44="","",IF(G44&gt;=$B$8,"Invite",IF(G44&gt;=$B$8-0.75,"Borderline","Leave off")))</f>
        <v/>
      </c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2"/>
      <c r="G45" s="25" t="str">
        <f aca="false">IF(OR(A45="",B45="",C45="",D45=""),"",ROUND((B45*$B$5+C45*$B$6+D45*$B$7)/SUM($B$5:$B$7),2))</f>
        <v/>
      </c>
      <c r="H45" s="26" t="str">
        <f aca="false">IF(G45="","",IF(G45&gt;=$B$8,"Invite",IF(G45&gt;=$B$8-0.75,"Borderline","Leave off")))</f>
        <v/>
      </c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2"/>
      <c r="G46" s="25" t="str">
        <f aca="false">IF(OR(A46="",B46="",C46="",D46=""),"",ROUND((B46*$B$5+C46*$B$6+D46*$B$7)/SUM($B$5:$B$7),2))</f>
        <v/>
      </c>
      <c r="H46" s="26" t="str">
        <f aca="false">IF(G46="","",IF(G46&gt;=$B$8,"Invite",IF(G46&gt;=$B$8-0.75,"Borderline","Leave off")))</f>
        <v/>
      </c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2"/>
      <c r="G47" s="25" t="str">
        <f aca="false">IF(OR(A47="",B47="",C47="",D47=""),"",ROUND((B47*$B$5+C47*$B$6+D47*$B$7)/SUM($B$5:$B$7),2))</f>
        <v/>
      </c>
      <c r="H47" s="26" t="str">
        <f aca="false">IF(G47="","",IF(G47&gt;=$B$8,"Invite",IF(G47&gt;=$B$8-0.75,"Borderline","Leave off")))</f>
        <v/>
      </c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2"/>
      <c r="G48" s="25" t="str">
        <f aca="false">IF(OR(A48="",B48="",C48="",D48=""),"",ROUND((B48*$B$5+C48*$B$6+D48*$B$7)/SUM($B$5:$B$7),2))</f>
        <v/>
      </c>
      <c r="H48" s="26" t="str">
        <f aca="false">IF(G48="","",IF(G48&gt;=$B$8,"Invite",IF(G48&gt;=$B$8-0.75,"Borderline","Leave off")))</f>
        <v/>
      </c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2"/>
      <c r="G49" s="25" t="str">
        <f aca="false">IF(OR(A49="",B49="",C49="",D49=""),"",ROUND((B49*$B$5+C49*$B$6+D49*$B$7)/SUM($B$5:$B$7),2))</f>
        <v/>
      </c>
      <c r="H49" s="26" t="str">
        <f aca="false">IF(G49="","",IF(G49&gt;=$B$8,"Invite",IF(G49&gt;=$B$8-0.75,"Borderline","Leave off")))</f>
        <v/>
      </c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2"/>
      <c r="G50" s="25" t="str">
        <f aca="false">IF(OR(A50="",B50="",C50="",D50=""),"",ROUND((B50*$B$5+C50*$B$6+D50*$B$7)/SUM($B$5:$B$7),2))</f>
        <v/>
      </c>
      <c r="H50" s="26" t="str">
        <f aca="false">IF(G50="","",IF(G50&gt;=$B$8,"Invite",IF(G50&gt;=$B$8-0.75,"Borderline","Leave off")))</f>
        <v/>
      </c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2"/>
      <c r="G51" s="25" t="str">
        <f aca="false">IF(OR(A51="",B51="",C51="",D51=""),"",ROUND((B51*$B$5+C51*$B$6+D51*$B$7)/SUM($B$5:$B$7),2))</f>
        <v/>
      </c>
      <c r="H51" s="26" t="str">
        <f aca="false">IF(G51="","",IF(G51&gt;=$B$8,"Invite",IF(G51&gt;=$B$8-0.75,"Borderline","Leave off")))</f>
        <v/>
      </c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2"/>
      <c r="G52" s="25" t="str">
        <f aca="false">IF(OR(A52="",B52="",C52="",D52=""),"",ROUND((B52*$B$5+C52*$B$6+D52*$B$7)/SUM($B$5:$B$7),2))</f>
        <v/>
      </c>
      <c r="H52" s="26" t="str">
        <f aca="false">IF(G52="","",IF(G52&gt;=$B$8,"Invite",IF(G52&gt;=$B$8-0.75,"Borderline","Leave off")))</f>
        <v/>
      </c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2"/>
      <c r="G53" s="25" t="str">
        <f aca="false">IF(OR(A53="",B53="",C53="",D53=""),"",ROUND((B53*$B$5+C53*$B$6+D53*$B$7)/SUM($B$5:$B$7),2))</f>
        <v/>
      </c>
      <c r="H53" s="26" t="str">
        <f aca="false">IF(G53="","",IF(G53&gt;=$B$8,"Invite",IF(G53&gt;=$B$8-0.75,"Borderline","Leave off")))</f>
        <v/>
      </c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2"/>
      <c r="G54" s="25" t="str">
        <f aca="false">IF(OR(A54="",B54="",C54="",D54=""),"",ROUND((B54*$B$5+C54*$B$6+D54*$B$7)/SUM($B$5:$B$7),2))</f>
        <v/>
      </c>
      <c r="H54" s="26" t="str">
        <f aca="false">IF(G54="","",IF(G54&gt;=$B$8,"Invite",IF(G54&gt;=$B$8-0.75,"Borderline","Leave off")))</f>
        <v/>
      </c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5" t="str">
        <f aca="false">IF(OR(A55="",B55="",C55="",D55=""),"",ROUND((B55*$B$5+C55*$B$6+D55*$B$7)/SUM($B$5:$B$7),2))</f>
        <v/>
      </c>
      <c r="H55" s="26" t="str">
        <f aca="false">IF(G55="","",IF(G55&gt;=$B$8,"Invite",IF(G55&gt;=$B$8-0.75,"Borderline","Leave off")))</f>
        <v/>
      </c>
    </row>
    <row r="56" customFormat="false" ht="15" hidden="false" customHeight="false" outlineLevel="0" collapsed="false">
      <c r="A56" s="22"/>
      <c r="B56" s="22"/>
      <c r="C56" s="22"/>
      <c r="D56" s="22"/>
      <c r="E56" s="22"/>
      <c r="F56" s="22"/>
      <c r="G56" s="25" t="str">
        <f aca="false">IF(OR(A56="",B56="",C56="",D56=""),"",ROUND((B56*$B$5+C56*$B$6+D56*$B$7)/SUM($B$5:$B$7),2))</f>
        <v/>
      </c>
      <c r="H56" s="26" t="str">
        <f aca="false">IF(G56="","",IF(G56&gt;=$B$8,"Invite",IF(G56&gt;=$B$8-0.75,"Borderline","Leave off")))</f>
        <v/>
      </c>
    </row>
    <row r="57" customFormat="false" ht="15" hidden="false" customHeight="false" outlineLevel="0" collapsed="false">
      <c r="A57" s="22"/>
      <c r="B57" s="22"/>
      <c r="C57" s="22"/>
      <c r="D57" s="22"/>
      <c r="E57" s="22"/>
      <c r="F57" s="22"/>
      <c r="G57" s="25" t="str">
        <f aca="false">IF(OR(A57="",B57="",C57="",D57=""),"",ROUND((B57*$B$5+C57*$B$6+D57*$B$7)/SUM($B$5:$B$7),2))</f>
        <v/>
      </c>
      <c r="H57" s="26" t="str">
        <f aca="false">IF(G57="","",IF(G57&gt;=$B$8,"Invite",IF(G57&gt;=$B$8-0.75,"Borderline","Leave off")))</f>
        <v/>
      </c>
    </row>
    <row r="58" customFormat="false" ht="15" hidden="false" customHeight="false" outlineLevel="0" collapsed="false">
      <c r="A58" s="22"/>
      <c r="B58" s="22"/>
      <c r="C58" s="22"/>
      <c r="D58" s="22"/>
      <c r="E58" s="22"/>
      <c r="F58" s="22"/>
      <c r="G58" s="25" t="str">
        <f aca="false">IF(OR(A58="",B58="",C58="",D58=""),"",ROUND((B58*$B$5+C58*$B$6+D58*$B$7)/SUM($B$5:$B$7),2))</f>
        <v/>
      </c>
      <c r="H58" s="26" t="str">
        <f aca="false">IF(G58="","",IF(G58&gt;=$B$8,"Invite",IF(G58&gt;=$B$8-0.75,"Borderline","Leave off")))</f>
        <v/>
      </c>
    </row>
    <row r="59" customFormat="false" ht="15" hidden="false" customHeight="false" outlineLevel="0" collapsed="false">
      <c r="A59" s="22"/>
      <c r="B59" s="22"/>
      <c r="C59" s="22"/>
      <c r="D59" s="22"/>
      <c r="E59" s="22"/>
      <c r="F59" s="22"/>
      <c r="G59" s="25" t="str">
        <f aca="false">IF(OR(A59="",B59="",C59="",D59=""),"",ROUND((B59*$B$5+C59*$B$6+D59*$B$7)/SUM($B$5:$B$7),2))</f>
        <v/>
      </c>
      <c r="H59" s="26" t="str">
        <f aca="false">IF(G59="","",IF(G59&gt;=$B$8,"Invite",IF(G59&gt;=$B$8-0.75,"Borderline","Leave off")))</f>
        <v/>
      </c>
    </row>
    <row r="60" customFormat="false" ht="15" hidden="false" customHeight="false" outlineLevel="0" collapsed="false">
      <c r="A60" s="22"/>
      <c r="B60" s="22"/>
      <c r="C60" s="22"/>
      <c r="D60" s="22"/>
      <c r="E60" s="22"/>
      <c r="F60" s="22"/>
      <c r="G60" s="25" t="str">
        <f aca="false">IF(OR(A60="",B60="",C60="",D60=""),"",ROUND((B60*$B$5+C60*$B$6+D60*$B$7)/SUM($B$5:$B$7),2))</f>
        <v/>
      </c>
      <c r="H60" s="26" t="str">
        <f aca="false">IF(G60="","",IF(G60&gt;=$B$8,"Invite",IF(G60&gt;=$B$8-0.75,"Borderline","Leave off")))</f>
        <v/>
      </c>
    </row>
    <row r="61" customFormat="false" ht="15" hidden="false" customHeight="false" outlineLevel="0" collapsed="false">
      <c r="A61" s="22"/>
      <c r="B61" s="22"/>
      <c r="C61" s="22"/>
      <c r="D61" s="22"/>
      <c r="E61" s="22"/>
      <c r="F61" s="22"/>
      <c r="G61" s="25" t="str">
        <f aca="false">IF(OR(A61="",B61="",C61="",D61=""),"",ROUND((B61*$B$5+C61*$B$6+D61*$B$7)/SUM($B$5:$B$7),2))</f>
        <v/>
      </c>
      <c r="H61" s="26" t="str">
        <f aca="false">IF(G61="","",IF(G61&gt;=$B$8,"Invite",IF(G61&gt;=$B$8-0.75,"Borderline","Leave off")))</f>
        <v/>
      </c>
    </row>
    <row r="62" customFormat="false" ht="15" hidden="false" customHeight="false" outlineLevel="0" collapsed="false">
      <c r="A62" s="22"/>
      <c r="B62" s="22"/>
      <c r="C62" s="22"/>
      <c r="D62" s="22"/>
      <c r="E62" s="22"/>
      <c r="F62" s="22"/>
      <c r="G62" s="25" t="str">
        <f aca="false">IF(OR(A62="",B62="",C62="",D62=""),"",ROUND((B62*$B$5+C62*$B$6+D62*$B$7)/SUM($B$5:$B$7),2))</f>
        <v/>
      </c>
      <c r="H62" s="26" t="str">
        <f aca="false">IF(G62="","",IF(G62&gt;=$B$8,"Invite",IF(G62&gt;=$B$8-0.75,"Borderline","Leave off")))</f>
        <v/>
      </c>
    </row>
    <row r="63" customFormat="false" ht="15" hidden="false" customHeight="false" outlineLevel="0" collapsed="false">
      <c r="A63" s="22"/>
      <c r="B63" s="22"/>
      <c r="C63" s="22"/>
      <c r="D63" s="22"/>
      <c r="E63" s="22"/>
      <c r="F63" s="22"/>
      <c r="G63" s="25" t="str">
        <f aca="false">IF(OR(A63="",B63="",C63="",D63=""),"",ROUND((B63*$B$5+C63*$B$6+D63*$B$7)/SUM($B$5:$B$7),2))</f>
        <v/>
      </c>
      <c r="H63" s="26" t="str">
        <f aca="false">IF(G63="","",IF(G63&gt;=$B$8,"Invite",IF(G63&gt;=$B$8-0.75,"Borderline","Leave off")))</f>
        <v/>
      </c>
    </row>
    <row r="64" customFormat="false" ht="15" hidden="false" customHeight="false" outlineLevel="0" collapsed="false">
      <c r="A64" s="22"/>
      <c r="B64" s="22"/>
      <c r="C64" s="22"/>
      <c r="D64" s="22"/>
      <c r="E64" s="22"/>
      <c r="F64" s="22"/>
      <c r="G64" s="25" t="str">
        <f aca="false">IF(OR(A64="",B64="",C64="",D64=""),"",ROUND((B64*$B$5+C64*$B$6+D64*$B$7)/SUM($B$5:$B$7),2))</f>
        <v/>
      </c>
      <c r="H64" s="26" t="str">
        <f aca="false">IF(G64="","",IF(G64&gt;=$B$8,"Invite",IF(G64&gt;=$B$8-0.75,"Borderline","Leave off")))</f>
        <v/>
      </c>
    </row>
    <row r="65" customFormat="false" ht="15" hidden="false" customHeight="false" outlineLevel="0" collapsed="false">
      <c r="A65" s="22"/>
      <c r="B65" s="22"/>
      <c r="C65" s="22"/>
      <c r="D65" s="22"/>
      <c r="E65" s="22"/>
      <c r="F65" s="22"/>
      <c r="G65" s="25" t="str">
        <f aca="false">IF(OR(A65="",B65="",C65="",D65=""),"",ROUND((B65*$B$5+C65*$B$6+D65*$B$7)/SUM($B$5:$B$7),2))</f>
        <v/>
      </c>
      <c r="H65" s="26" t="str">
        <f aca="false">IF(G65="","",IF(G65&gt;=$B$8,"Invite",IF(G65&gt;=$B$8-0.75,"Borderline","Leave off")))</f>
        <v/>
      </c>
    </row>
    <row r="66" customFormat="false" ht="15" hidden="false" customHeight="false" outlineLevel="0" collapsed="false">
      <c r="A66" s="22"/>
      <c r="B66" s="22"/>
      <c r="C66" s="22"/>
      <c r="D66" s="22"/>
      <c r="E66" s="22"/>
      <c r="F66" s="22"/>
      <c r="G66" s="25" t="str">
        <f aca="false">IF(OR(A66="",B66="",C66="",D66=""),"",ROUND((B66*$B$5+C66*$B$6+D66*$B$7)/SUM($B$5:$B$7),2))</f>
        <v/>
      </c>
      <c r="H66" s="26" t="str">
        <f aca="false">IF(G66="","",IF(G66&gt;=$B$8,"Invite",IF(G66&gt;=$B$8-0.75,"Borderline","Leave off")))</f>
        <v/>
      </c>
    </row>
    <row r="67" customFormat="false" ht="15" hidden="false" customHeight="false" outlineLevel="0" collapsed="false">
      <c r="A67" s="22"/>
      <c r="B67" s="22"/>
      <c r="C67" s="22"/>
      <c r="D67" s="22"/>
      <c r="E67" s="22"/>
      <c r="F67" s="22"/>
      <c r="G67" s="25" t="str">
        <f aca="false">IF(OR(A67="",B67="",C67="",D67=""),"",ROUND((B67*$B$5+C67*$B$6+D67*$B$7)/SUM($B$5:$B$7),2))</f>
        <v/>
      </c>
      <c r="H67" s="26" t="str">
        <f aca="false">IF(G67="","",IF(G67&gt;=$B$8,"Invite",IF(G67&gt;=$B$8-0.75,"Borderline","Leave off")))</f>
        <v/>
      </c>
    </row>
    <row r="68" customFormat="false" ht="15" hidden="false" customHeight="false" outlineLevel="0" collapsed="false">
      <c r="A68" s="22"/>
      <c r="B68" s="22"/>
      <c r="C68" s="22"/>
      <c r="D68" s="22"/>
      <c r="E68" s="22"/>
      <c r="F68" s="22"/>
      <c r="G68" s="25" t="str">
        <f aca="false">IF(OR(A68="",B68="",C68="",D68=""),"",ROUND((B68*$B$5+C68*$B$6+D68*$B$7)/SUM($B$5:$B$7),2))</f>
        <v/>
      </c>
      <c r="H68" s="26" t="str">
        <f aca="false">IF(G68="","",IF(G68&gt;=$B$8,"Invite",IF(G68&gt;=$B$8-0.75,"Borderline","Leave off")))</f>
        <v/>
      </c>
    </row>
    <row r="69" customFormat="false" ht="15" hidden="false" customHeight="false" outlineLevel="0" collapsed="false">
      <c r="A69" s="22"/>
      <c r="B69" s="22"/>
      <c r="C69" s="22"/>
      <c r="D69" s="22"/>
      <c r="E69" s="22"/>
      <c r="F69" s="22"/>
      <c r="G69" s="25" t="str">
        <f aca="false">IF(OR(A69="",B69="",C69="",D69=""),"",ROUND((B69*$B$5+C69*$B$6+D69*$B$7)/SUM($B$5:$B$7),2))</f>
        <v/>
      </c>
      <c r="H69" s="26" t="str">
        <f aca="false">IF(G69="","",IF(G69&gt;=$B$8,"Invite",IF(G69&gt;=$B$8-0.75,"Borderline","Leave off")))</f>
        <v/>
      </c>
    </row>
    <row r="70" customFormat="false" ht="15" hidden="false" customHeight="false" outlineLevel="0" collapsed="false">
      <c r="A70" s="22"/>
      <c r="B70" s="22"/>
      <c r="C70" s="22"/>
      <c r="D70" s="22"/>
      <c r="E70" s="22"/>
      <c r="F70" s="22"/>
      <c r="G70" s="25" t="str">
        <f aca="false">IF(OR(A70="",B70="",C70="",D70=""),"",ROUND((B70*$B$5+C70*$B$6+D70*$B$7)/SUM($B$5:$B$7),2))</f>
        <v/>
      </c>
      <c r="H70" s="26" t="str">
        <f aca="false">IF(G70="","",IF(G70&gt;=$B$8,"Invite",IF(G70&gt;=$B$8-0.75,"Borderline","Leave off")))</f>
        <v/>
      </c>
    </row>
    <row r="71" customFormat="false" ht="15" hidden="false" customHeight="false" outlineLevel="0" collapsed="false">
      <c r="A71" s="22"/>
      <c r="B71" s="22"/>
      <c r="C71" s="22"/>
      <c r="D71" s="22"/>
      <c r="E71" s="22"/>
      <c r="F71" s="22"/>
      <c r="G71" s="25" t="str">
        <f aca="false">IF(OR(A71="",B71="",C71="",D71=""),"",ROUND((B71*$B$5+C71*$B$6+D71*$B$7)/SUM($B$5:$B$7),2))</f>
        <v/>
      </c>
      <c r="H71" s="26" t="str">
        <f aca="false">IF(G71="","",IF(G71&gt;=$B$8,"Invite",IF(G71&gt;=$B$8-0.75,"Borderline","Leave off")))</f>
        <v/>
      </c>
    </row>
    <row r="72" customFormat="false" ht="15" hidden="false" customHeight="false" outlineLevel="0" collapsed="false">
      <c r="A72" s="22"/>
      <c r="B72" s="22"/>
      <c r="C72" s="22"/>
      <c r="D72" s="22"/>
      <c r="E72" s="22"/>
      <c r="F72" s="22"/>
      <c r="G72" s="25" t="str">
        <f aca="false">IF(OR(A72="",B72="",C72="",D72=""),"",ROUND((B72*$B$5+C72*$B$6+D72*$B$7)/SUM($B$5:$B$7),2))</f>
        <v/>
      </c>
      <c r="H72" s="26" t="str">
        <f aca="false">IF(G72="","",IF(G72&gt;=$B$8,"Invite",IF(G72&gt;=$B$8-0.75,"Borderline","Leave off")))</f>
        <v/>
      </c>
    </row>
    <row r="73" customFormat="false" ht="15" hidden="false" customHeight="false" outlineLevel="0" collapsed="false">
      <c r="A73" s="22"/>
      <c r="B73" s="22"/>
      <c r="C73" s="22"/>
      <c r="D73" s="22"/>
      <c r="E73" s="22"/>
      <c r="F73" s="22"/>
      <c r="G73" s="25" t="str">
        <f aca="false">IF(OR(A73="",B73="",C73="",D73=""),"",ROUND((B73*$B$5+C73*$B$6+D73*$B$7)/SUM($B$5:$B$7),2))</f>
        <v/>
      </c>
      <c r="H73" s="26" t="str">
        <f aca="false">IF(G73="","",IF(G73&gt;=$B$8,"Invite",IF(G73&gt;=$B$8-0.75,"Borderline","Leave off")))</f>
        <v/>
      </c>
    </row>
    <row r="74" customFormat="false" ht="15" hidden="false" customHeight="false" outlineLevel="0" collapsed="false">
      <c r="A74" s="22"/>
      <c r="B74" s="22"/>
      <c r="C74" s="22"/>
      <c r="D74" s="22"/>
      <c r="E74" s="22"/>
      <c r="F74" s="22"/>
      <c r="G74" s="25" t="str">
        <f aca="false">IF(OR(A74="",B74="",C74="",D74=""),"",ROUND((B74*$B$5+C74*$B$6+D74*$B$7)/SUM($B$5:$B$7),2))</f>
        <v/>
      </c>
      <c r="H74" s="26" t="str">
        <f aca="false">IF(G74="","",IF(G74&gt;=$B$8,"Invite",IF(G74&gt;=$B$8-0.75,"Borderline","Leave off")))</f>
        <v/>
      </c>
    </row>
    <row r="75" customFormat="false" ht="15" hidden="false" customHeight="false" outlineLevel="0" collapsed="false">
      <c r="A75" s="22"/>
      <c r="B75" s="22"/>
      <c r="C75" s="22"/>
      <c r="D75" s="22"/>
      <c r="E75" s="22"/>
      <c r="F75" s="22"/>
      <c r="G75" s="25" t="str">
        <f aca="false">IF(OR(A75="",B75="",C75="",D75=""),"",ROUND((B75*$B$5+C75*$B$6+D75*$B$7)/SUM($B$5:$B$7),2))</f>
        <v/>
      </c>
      <c r="H75" s="26" t="str">
        <f aca="false">IF(G75="","",IF(G75&gt;=$B$8,"Invite",IF(G75&gt;=$B$8-0.75,"Borderline","Leave off")))</f>
        <v/>
      </c>
    </row>
    <row r="76" customFormat="false" ht="15" hidden="false" customHeight="false" outlineLevel="0" collapsed="false">
      <c r="A76" s="22"/>
      <c r="B76" s="22"/>
      <c r="C76" s="22"/>
      <c r="D76" s="22"/>
      <c r="E76" s="22"/>
      <c r="F76" s="22"/>
      <c r="G76" s="25" t="str">
        <f aca="false">IF(OR(A76="",B76="",C76="",D76=""),"",ROUND((B76*$B$5+C76*$B$6+D76*$B$7)/SUM($B$5:$B$7),2))</f>
        <v/>
      </c>
      <c r="H76" s="26" t="str">
        <f aca="false">IF(G76="","",IF(G76&gt;=$B$8,"Invite",IF(G76&gt;=$B$8-0.75,"Borderline","Leave off")))</f>
        <v/>
      </c>
    </row>
    <row r="77" customFormat="false" ht="15" hidden="false" customHeight="false" outlineLevel="0" collapsed="false">
      <c r="A77" s="22"/>
      <c r="B77" s="22"/>
      <c r="C77" s="22"/>
      <c r="D77" s="22"/>
      <c r="E77" s="22"/>
      <c r="F77" s="22"/>
      <c r="G77" s="25" t="str">
        <f aca="false">IF(OR(A77="",B77="",C77="",D77=""),"",ROUND((B77*$B$5+C77*$B$6+D77*$B$7)/SUM($B$5:$B$7),2))</f>
        <v/>
      </c>
      <c r="H77" s="26" t="str">
        <f aca="false">IF(G77="","",IF(G77&gt;=$B$8,"Invite",IF(G77&gt;=$B$8-0.75,"Borderline","Leave off")))</f>
        <v/>
      </c>
    </row>
    <row r="78" customFormat="false" ht="15" hidden="false" customHeight="false" outlineLevel="0" collapsed="false">
      <c r="A78" s="22"/>
      <c r="B78" s="22"/>
      <c r="C78" s="22"/>
      <c r="D78" s="22"/>
      <c r="E78" s="22"/>
      <c r="F78" s="22"/>
      <c r="G78" s="25" t="str">
        <f aca="false">IF(OR(A78="",B78="",C78="",D78=""),"",ROUND((B78*$B$5+C78*$B$6+D78*$B$7)/SUM($B$5:$B$7),2))</f>
        <v/>
      </c>
      <c r="H78" s="26" t="str">
        <f aca="false">IF(G78="","",IF(G78&gt;=$B$8,"Invite",IF(G78&gt;=$B$8-0.75,"Borderline","Leave off")))</f>
        <v/>
      </c>
    </row>
    <row r="79" customFormat="false" ht="15" hidden="false" customHeight="false" outlineLevel="0" collapsed="false">
      <c r="A79" s="22"/>
      <c r="B79" s="22"/>
      <c r="C79" s="22"/>
      <c r="D79" s="22"/>
      <c r="E79" s="22"/>
      <c r="F79" s="22"/>
      <c r="G79" s="25" t="str">
        <f aca="false">IF(OR(A79="",B79="",C79="",D79=""),"",ROUND((B79*$B$5+C79*$B$6+D79*$B$7)/SUM($B$5:$B$7),2))</f>
        <v/>
      </c>
      <c r="H79" s="26" t="str">
        <f aca="false">IF(G79="","",IF(G79&gt;=$B$8,"Invite",IF(G79&gt;=$B$8-0.75,"Borderline","Leave off")))</f>
        <v/>
      </c>
    </row>
    <row r="80" customFormat="false" ht="15" hidden="false" customHeight="false" outlineLevel="0" collapsed="false">
      <c r="A80" s="22"/>
      <c r="B80" s="22"/>
      <c r="C80" s="22"/>
      <c r="D80" s="22"/>
      <c r="E80" s="22"/>
      <c r="F80" s="22"/>
      <c r="G80" s="25" t="str">
        <f aca="false">IF(OR(A80="",B80="",C80="",D80=""),"",ROUND((B80*$B$5+C80*$B$6+D80*$B$7)/SUM($B$5:$B$7),2))</f>
        <v/>
      </c>
      <c r="H80" s="26" t="str">
        <f aca="false">IF(G80="","",IF(G80&gt;=$B$8,"Invite",IF(G80&gt;=$B$8-0.75,"Borderline","Leave off")))</f>
        <v/>
      </c>
    </row>
    <row r="81" customFormat="false" ht="15" hidden="false" customHeight="false" outlineLevel="0" collapsed="false">
      <c r="A81" s="22"/>
      <c r="B81" s="22"/>
      <c r="C81" s="22"/>
      <c r="D81" s="22"/>
      <c r="E81" s="22"/>
      <c r="F81" s="22"/>
      <c r="G81" s="25" t="str">
        <f aca="false">IF(OR(A81="",B81="",C81="",D81=""),"",ROUND((B81*$B$5+C81*$B$6+D81*$B$7)/SUM($B$5:$B$7),2))</f>
        <v/>
      </c>
      <c r="H81" s="26" t="str">
        <f aca="false">IF(G81="","",IF(G81&gt;=$B$8,"Invite",IF(G81&gt;=$B$8-0.75,"Borderline","Leave off")))</f>
        <v/>
      </c>
    </row>
    <row r="82" customFormat="false" ht="15" hidden="false" customHeight="false" outlineLevel="0" collapsed="false">
      <c r="A82" s="22"/>
      <c r="B82" s="22"/>
      <c r="C82" s="22"/>
      <c r="D82" s="22"/>
      <c r="E82" s="22"/>
      <c r="F82" s="22"/>
      <c r="G82" s="25" t="str">
        <f aca="false">IF(OR(A82="",B82="",C82="",D82=""),"",ROUND((B82*$B$5+C82*$B$6+D82*$B$7)/SUM($B$5:$B$7),2))</f>
        <v/>
      </c>
      <c r="H82" s="26" t="str">
        <f aca="false">IF(G82="","",IF(G82&gt;=$B$8,"Invite",IF(G82&gt;=$B$8-0.75,"Borderline","Leave off")))</f>
        <v/>
      </c>
    </row>
    <row r="83" customFormat="false" ht="15" hidden="false" customHeight="false" outlineLevel="0" collapsed="false">
      <c r="A83" s="22"/>
      <c r="B83" s="22"/>
      <c r="C83" s="22"/>
      <c r="D83" s="22"/>
      <c r="E83" s="22"/>
      <c r="F83" s="22"/>
      <c r="G83" s="25" t="str">
        <f aca="false">IF(OR(A83="",B83="",C83="",D83=""),"",ROUND((B83*$B$5+C83*$B$6+D83*$B$7)/SUM($B$5:$B$7),2))</f>
        <v/>
      </c>
      <c r="H83" s="26" t="str">
        <f aca="false">IF(G83="","",IF(G83&gt;=$B$8,"Invite",IF(G83&gt;=$B$8-0.75,"Borderline","Leave off")))</f>
        <v/>
      </c>
    </row>
    <row r="84" customFormat="false" ht="15" hidden="false" customHeight="false" outlineLevel="0" collapsed="false">
      <c r="A84" s="22"/>
      <c r="B84" s="22"/>
      <c r="C84" s="22"/>
      <c r="D84" s="22"/>
      <c r="E84" s="22"/>
      <c r="F84" s="22"/>
      <c r="G84" s="25" t="str">
        <f aca="false">IF(OR(A84="",B84="",C84="",D84=""),"",ROUND((B84*$B$5+C84*$B$6+D84*$B$7)/SUM($B$5:$B$7),2))</f>
        <v/>
      </c>
      <c r="H84" s="26" t="str">
        <f aca="false">IF(G84="","",IF(G84&gt;=$B$8,"Invite",IF(G84&gt;=$B$8-0.75,"Borderline","Leave off")))</f>
        <v/>
      </c>
    </row>
    <row r="85" customFormat="false" ht="15" hidden="false" customHeight="false" outlineLevel="0" collapsed="false">
      <c r="A85" s="22"/>
      <c r="B85" s="22"/>
      <c r="C85" s="22"/>
      <c r="D85" s="22"/>
      <c r="E85" s="22"/>
      <c r="F85" s="22"/>
      <c r="G85" s="25" t="str">
        <f aca="false">IF(OR(A85="",B85="",C85="",D85=""),"",ROUND((B85*$B$5+C85*$B$6+D85*$B$7)/SUM($B$5:$B$7),2))</f>
        <v/>
      </c>
      <c r="H85" s="26" t="str">
        <f aca="false">IF(G85="","",IF(G85&gt;=$B$8,"Invite",IF(G85&gt;=$B$8-0.75,"Borderline","Leave off")))</f>
        <v/>
      </c>
    </row>
    <row r="86" customFormat="false" ht="15" hidden="false" customHeight="false" outlineLevel="0" collapsed="false">
      <c r="A86" s="22"/>
      <c r="B86" s="22"/>
      <c r="C86" s="22"/>
      <c r="D86" s="22"/>
      <c r="E86" s="22"/>
      <c r="F86" s="22"/>
      <c r="G86" s="25" t="str">
        <f aca="false">IF(OR(A86="",B86="",C86="",D86=""),"",ROUND((B86*$B$5+C86*$B$6+D86*$B$7)/SUM($B$5:$B$7),2))</f>
        <v/>
      </c>
      <c r="H86" s="26" t="str">
        <f aca="false">IF(G86="","",IF(G86&gt;=$B$8,"Invite",IF(G86&gt;=$B$8-0.75,"Borderline","Leave off")))</f>
        <v/>
      </c>
    </row>
    <row r="87" customFormat="false" ht="15" hidden="false" customHeight="false" outlineLevel="0" collapsed="false">
      <c r="A87" s="22"/>
      <c r="B87" s="22"/>
      <c r="C87" s="22"/>
      <c r="D87" s="22"/>
      <c r="E87" s="22"/>
      <c r="F87" s="22"/>
      <c r="G87" s="25" t="str">
        <f aca="false">IF(OR(A87="",B87="",C87="",D87=""),"",ROUND((B87*$B$5+C87*$B$6+D87*$B$7)/SUM($B$5:$B$7),2))</f>
        <v/>
      </c>
      <c r="H87" s="26" t="str">
        <f aca="false">IF(G87="","",IF(G87&gt;=$B$8,"Invite",IF(G87&gt;=$B$8-0.75,"Borderline","Leave off")))</f>
        <v/>
      </c>
    </row>
    <row r="88" customFormat="false" ht="15" hidden="false" customHeight="false" outlineLevel="0" collapsed="false">
      <c r="A88" s="22"/>
      <c r="B88" s="22"/>
      <c r="C88" s="22"/>
      <c r="D88" s="22"/>
      <c r="E88" s="22"/>
      <c r="F88" s="22"/>
      <c r="G88" s="25" t="str">
        <f aca="false">IF(OR(A88="",B88="",C88="",D88=""),"",ROUND((B88*$B$5+C88*$B$6+D88*$B$7)/SUM($B$5:$B$7),2))</f>
        <v/>
      </c>
      <c r="H88" s="26" t="str">
        <f aca="false">IF(G88="","",IF(G88&gt;=$B$8,"Invite",IF(G88&gt;=$B$8-0.75,"Borderline","Leave off")))</f>
        <v/>
      </c>
    </row>
    <row r="89" customFormat="false" ht="15" hidden="false" customHeight="false" outlineLevel="0" collapsed="false">
      <c r="A89" s="22"/>
      <c r="B89" s="22"/>
      <c r="C89" s="22"/>
      <c r="D89" s="22"/>
      <c r="E89" s="22"/>
      <c r="F89" s="22"/>
      <c r="G89" s="25" t="str">
        <f aca="false">IF(OR(A89="",B89="",C89="",D89=""),"",ROUND((B89*$B$5+C89*$B$6+D89*$B$7)/SUM($B$5:$B$7),2))</f>
        <v/>
      </c>
      <c r="H89" s="26" t="str">
        <f aca="false">IF(G89="","",IF(G89&gt;=$B$8,"Invite",IF(G89&gt;=$B$8-0.75,"Borderline","Leave off")))</f>
        <v/>
      </c>
    </row>
    <row r="90" customFormat="false" ht="15" hidden="false" customHeight="false" outlineLevel="0" collapsed="false">
      <c r="A90" s="22"/>
      <c r="B90" s="22"/>
      <c r="C90" s="22"/>
      <c r="D90" s="22"/>
      <c r="E90" s="22"/>
      <c r="F90" s="22"/>
      <c r="G90" s="25" t="str">
        <f aca="false">IF(OR(A90="",B90="",C90="",D90=""),"",ROUND((B90*$B$5+C90*$B$6+D90*$B$7)/SUM($B$5:$B$7),2))</f>
        <v/>
      </c>
      <c r="H90" s="26" t="str">
        <f aca="false">IF(G90="","",IF(G90&gt;=$B$8,"Invite",IF(G90&gt;=$B$8-0.75,"Borderline","Leave off")))</f>
        <v/>
      </c>
    </row>
    <row r="91" customFormat="false" ht="15" hidden="false" customHeight="false" outlineLevel="0" collapsed="false">
      <c r="A91" s="22"/>
      <c r="B91" s="22"/>
      <c r="C91" s="22"/>
      <c r="D91" s="22"/>
      <c r="E91" s="22"/>
      <c r="F91" s="22"/>
      <c r="G91" s="25" t="str">
        <f aca="false">IF(OR(A91="",B91="",C91="",D91=""),"",ROUND((B91*$B$5+C91*$B$6+D91*$B$7)/SUM($B$5:$B$7),2))</f>
        <v/>
      </c>
      <c r="H91" s="26" t="str">
        <f aca="false">IF(G91="","",IF(G91&gt;=$B$8,"Invite",IF(G91&gt;=$B$8-0.75,"Borderline","Leave off")))</f>
        <v/>
      </c>
    </row>
    <row r="92" customFormat="false" ht="15" hidden="false" customHeight="false" outlineLevel="0" collapsed="false">
      <c r="A92" s="22"/>
      <c r="B92" s="22"/>
      <c r="C92" s="22"/>
      <c r="D92" s="22"/>
      <c r="E92" s="22"/>
      <c r="F92" s="22"/>
      <c r="G92" s="25" t="str">
        <f aca="false">IF(OR(A92="",B92="",C92="",D92=""),"",ROUND((B92*$B$5+C92*$B$6+D92*$B$7)/SUM($B$5:$B$7),2))</f>
        <v/>
      </c>
      <c r="H92" s="26" t="str">
        <f aca="false">IF(G92="","",IF(G92&gt;=$B$8,"Invite",IF(G92&gt;=$B$8-0.75,"Borderline","Leave off")))</f>
        <v/>
      </c>
    </row>
    <row r="93" customFormat="false" ht="15" hidden="false" customHeight="false" outlineLevel="0" collapsed="false">
      <c r="A93" s="22"/>
      <c r="B93" s="22"/>
      <c r="C93" s="22"/>
      <c r="D93" s="22"/>
      <c r="E93" s="22"/>
      <c r="F93" s="22"/>
      <c r="G93" s="25" t="str">
        <f aca="false">IF(OR(A93="",B93="",C93="",D93=""),"",ROUND((B93*$B$5+C93*$B$6+D93*$B$7)/SUM($B$5:$B$7),2))</f>
        <v/>
      </c>
      <c r="H93" s="26" t="str">
        <f aca="false">IF(G93="","",IF(G93&gt;=$B$8,"Invite",IF(G93&gt;=$B$8-0.75,"Borderline","Leave off")))</f>
        <v/>
      </c>
    </row>
    <row r="94" customFormat="false" ht="15" hidden="false" customHeight="false" outlineLevel="0" collapsed="false">
      <c r="A94" s="22"/>
      <c r="B94" s="22"/>
      <c r="C94" s="22"/>
      <c r="D94" s="22"/>
      <c r="E94" s="22"/>
      <c r="F94" s="22"/>
      <c r="G94" s="25" t="str">
        <f aca="false">IF(OR(A94="",B94="",C94="",D94=""),"",ROUND((B94*$B$5+C94*$B$6+D94*$B$7)/SUM($B$5:$B$7),2))</f>
        <v/>
      </c>
      <c r="H94" s="26" t="str">
        <f aca="false">IF(G94="","",IF(G94&gt;=$B$8,"Invite",IF(G94&gt;=$B$8-0.75,"Borderline","Leave off")))</f>
        <v/>
      </c>
    </row>
    <row r="95" customFormat="false" ht="15" hidden="false" customHeight="false" outlineLevel="0" collapsed="false">
      <c r="A95" s="22"/>
      <c r="B95" s="22"/>
      <c r="C95" s="22"/>
      <c r="D95" s="22"/>
      <c r="E95" s="22"/>
      <c r="F95" s="22"/>
      <c r="G95" s="25" t="str">
        <f aca="false">IF(OR(A95="",B95="",C95="",D95=""),"",ROUND((B95*$B$5+C95*$B$6+D95*$B$7)/SUM($B$5:$B$7),2))</f>
        <v/>
      </c>
      <c r="H95" s="26" t="str">
        <f aca="false">IF(G95="","",IF(G95&gt;=$B$8,"Invite",IF(G95&gt;=$B$8-0.75,"Borderline","Leave off")))</f>
        <v/>
      </c>
    </row>
    <row r="96" customFormat="false" ht="15" hidden="false" customHeight="false" outlineLevel="0" collapsed="false">
      <c r="A96" s="22"/>
      <c r="B96" s="22"/>
      <c r="C96" s="22"/>
      <c r="D96" s="22"/>
      <c r="E96" s="22"/>
      <c r="F96" s="22"/>
      <c r="G96" s="25" t="str">
        <f aca="false">IF(OR(A96="",B96="",C96="",D96=""),"",ROUND((B96*$B$5+C96*$B$6+D96*$B$7)/SUM($B$5:$B$7),2))</f>
        <v/>
      </c>
      <c r="H96" s="26" t="str">
        <f aca="false">IF(G96="","",IF(G96&gt;=$B$8,"Invite",IF(G96&gt;=$B$8-0.75,"Borderline","Leave off")))</f>
        <v/>
      </c>
    </row>
    <row r="97" customFormat="false" ht="15" hidden="false" customHeight="false" outlineLevel="0" collapsed="false">
      <c r="A97" s="22"/>
      <c r="B97" s="22"/>
      <c r="C97" s="22"/>
      <c r="D97" s="22"/>
      <c r="E97" s="22"/>
      <c r="F97" s="22"/>
      <c r="G97" s="25" t="str">
        <f aca="false">IF(OR(A97="",B97="",C97="",D97=""),"",ROUND((B97*$B$5+C97*$B$6+D97*$B$7)/SUM($B$5:$B$7),2))</f>
        <v/>
      </c>
      <c r="H97" s="26" t="str">
        <f aca="false">IF(G97="","",IF(G97&gt;=$B$8,"Invite",IF(G97&gt;=$B$8-0.75,"Borderline","Leave off")))</f>
        <v/>
      </c>
    </row>
    <row r="98" customFormat="false" ht="15" hidden="false" customHeight="false" outlineLevel="0" collapsed="false">
      <c r="A98" s="22"/>
      <c r="B98" s="22"/>
      <c r="C98" s="22"/>
      <c r="D98" s="22"/>
      <c r="E98" s="22"/>
      <c r="F98" s="22"/>
      <c r="G98" s="25" t="str">
        <f aca="false">IF(OR(A98="",B98="",C98="",D98=""),"",ROUND((B98*$B$5+C98*$B$6+D98*$B$7)/SUM($B$5:$B$7),2))</f>
        <v/>
      </c>
      <c r="H98" s="26" t="str">
        <f aca="false">IF(G98="","",IF(G98&gt;=$B$8,"Invite",IF(G98&gt;=$B$8-0.75,"Borderline","Leave off")))</f>
        <v/>
      </c>
    </row>
    <row r="99" customFormat="false" ht="15" hidden="false" customHeight="false" outlineLevel="0" collapsed="false">
      <c r="A99" s="22"/>
      <c r="B99" s="22"/>
      <c r="C99" s="22"/>
      <c r="D99" s="22"/>
      <c r="E99" s="22"/>
      <c r="F99" s="22"/>
      <c r="G99" s="25" t="str">
        <f aca="false">IF(OR(A99="",B99="",C99="",D99=""),"",ROUND((B99*$B$5+C99*$B$6+D99*$B$7)/SUM($B$5:$B$7),2))</f>
        <v/>
      </c>
      <c r="H99" s="26" t="str">
        <f aca="false">IF(G99="","",IF(G99&gt;=$B$8,"Invite",IF(G99&gt;=$B$8-0.75,"Borderline","Leave off")))</f>
        <v/>
      </c>
    </row>
    <row r="100" customFormat="false" ht="15" hidden="false" customHeight="false" outlineLevel="0" collapsed="false">
      <c r="A100" s="22"/>
      <c r="B100" s="22"/>
      <c r="C100" s="22"/>
      <c r="D100" s="22"/>
      <c r="E100" s="22"/>
      <c r="F100" s="22"/>
      <c r="G100" s="25" t="str">
        <f aca="false">IF(OR(A100="",B100="",C100="",D100=""),"",ROUND((B100*$B$5+C100*$B$6+D100*$B$7)/SUM($B$5:$B$7),2))</f>
        <v/>
      </c>
      <c r="H100" s="26" t="str">
        <f aca="false">IF(G100="","",IF(G100&gt;=$B$8,"Invite",IF(G100&gt;=$B$8-0.75,"Borderline","Leave off")))</f>
        <v/>
      </c>
    </row>
    <row r="101" customFormat="false" ht="15" hidden="false" customHeight="false" outlineLevel="0" collapsed="false">
      <c r="A101" s="22"/>
      <c r="B101" s="22"/>
      <c r="C101" s="22"/>
      <c r="D101" s="22"/>
      <c r="E101" s="22"/>
      <c r="F101" s="22"/>
      <c r="G101" s="25" t="str">
        <f aca="false">IF(OR(A101="",B101="",C101="",D101=""),"",ROUND((B101*$B$5+C101*$B$6+D101*$B$7)/SUM($B$5:$B$7),2))</f>
        <v/>
      </c>
      <c r="H101" s="26" t="str">
        <f aca="false">IF(G101="","",IF(G101&gt;=$B$8,"Invite",IF(G101&gt;=$B$8-0.75,"Borderline","Leave off")))</f>
        <v/>
      </c>
    </row>
  </sheetData>
  <conditionalFormatting sqref="H12:H101">
    <cfRule type="cellIs" priority="2" operator="equal" aboveAverage="0" equalAverage="0" bottom="0" percent="0" rank="0" text="" dxfId="0">
      <formula>"Invite"</formula>
    </cfRule>
    <cfRule type="cellIs" priority="3" operator="equal" aboveAverage="0" equalAverage="0" bottom="0" percent="0" rank="0" text="" dxfId="1">
      <formula>"Borderline"</formula>
    </cfRule>
    <cfRule type="cellIs" priority="4" operator="equal" aboveAverage="0" equalAverage="0" bottom="0" percent="0" rank="0" text="" dxfId="2">
      <formula>"Leave off"</formula>
    </cfRule>
  </conditionalFormatting>
  <dataValidations count="2">
    <dataValidation allowBlank="true" errorStyle="stop" operator="between" showDropDown="false" showErrorMessage="false" showInputMessage="false" sqref="B12:D101" type="whole">
      <formula1>1</formula1>
      <formula2>5</formula2>
    </dataValidation>
    <dataValidation allowBlank="true" errorStyle="stop" operator="between" showDropDown="false" showErrorMessage="false" showInputMessage="false" sqref="E12:F101" type="list">
      <formula1>"Yes,Maybe,No"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2026-10-06T10:33:54Z</dcterms:created>
  <dc:creator>openpyxl</dc:creator>
  <dc:description/>
  <dc:language>en-US</dc:language>
  <cp:lastModifiedBy/>
  <dcterms:modified xsi:type="dcterms:W3CDTF">2026-10-06T10:33:54Z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